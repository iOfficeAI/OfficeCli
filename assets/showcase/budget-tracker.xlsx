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0932f7d75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2" r:id="Re44957a872e340a9"/>
    <x:sheet xmlns:r="http://schemas.openxmlformats.org/officeDocument/2006/relationships" name="Transactions" sheetId="3" r:id="R2514d55d24b843cc"/>
    <x:sheet xmlns:r="http://schemas.openxmlformats.org/officeDocument/2006/relationships" name="Settings" sheetId="4" r:id="R42945645d0794b86"/>
  </x:sheets>
  <x:definedNames>
    <x:definedName name="DeptList" comment="Department dropdown list">Settings!$A$2:$A$8</x:definedName>
    <x:definedName name="CatList" comment="Category dropdown list">Settings!$C$2:$C$14</x:definedName>
  </x:definedNames>
</x:workbook>
</file>

<file path=xl/styles.xml><?xml version="1.0" encoding="utf-8"?>
<x:styleSheet xmlns:x="http://schemas.openxmlformats.org/spreadsheetml/2006/main">
  <x:numFmts count="2">
    <x:numFmt numFmtId="164" formatCode="$#,##0"/>
    <x:numFmt numFmtId="165" formatCode="$#,##0.00"/>
  </x:numFmts>
  <x:fonts count="6">
    <x:font>
      <x:sz val="11"/>
      <x:name val="Calibri"/>
    </x:font>
    <x:font>
      <x:b/>
      <x:sz val="18"/>
      <x:color rgb="FFFFFFFF"/>
      <x:name val="Calibri"/>
    </x:font>
    <x:font>
      <x:b/>
      <x:sz val="11"/>
      <x:name val="Calibri"/>
    </x:font>
    <x:font>
      <x:b/>
      <x:sz val="16"/>
      <x:color rgb="FFC00000"/>
      <x:name val="Calibri"/>
    </x:font>
    <x:font>
      <x:b/>
      <x:sz val="16"/>
      <x:color rgb="FF2D5016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D5016"/>
      </x:patternFill>
    </x:fill>
    <x:fill>
      <x:patternFill patternType="solid">
        <x:fgColor rgb="FFE2EFDA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8">
    <x:xf numFmtId="0" fontId="0" fillId="0" borderId="0"/>
    <x:xf numFmtId="0" fontId="1" fillId="2" borderId="0" applyFont="1" applyFill="1" applyAlignment="1">
      <x:alignment horizontal="center" vertical="center"/>
    </x:xf>
    <x:xf numFmtId="0" fontId="2" fillId="3" borderId="0" applyFont="1" applyFill="1" applyAlignment="1">
      <x:alignment horizontal="center"/>
    </x:xf>
    <x:xf numFmtId="164" fontId="3" fillId="0" borderId="0" applyNumberFormat="1" applyFont="1" applyAlignment="1">
      <x:alignment horizontal="center"/>
    </x:xf>
    <x:xf numFmtId="9" fontId="4" fillId="0" borderId="0" applyNumberFormat="1" applyFont="1" applyAlignment="1">
      <x:alignment horizontal="center"/>
    </x:xf>
    <x:xf numFmtId="164" fontId="4" fillId="0" borderId="0" applyNumberFormat="1" applyFont="1" applyAlignment="1">
      <x:alignment horizontal="center"/>
    </x:xf>
    <x:xf numFmtId="0" fontId="5" fillId="2" borderId="1" applyFont="1" applyFill="1" applyBorder="1" applyAlignment="1">
      <x:alignment horizontal="center"/>
    </x:xf>
    <x:xf numFmtId="0" fontId="0" fillId="3" borderId="1" applyFill="1" applyBorder="1"/>
    <x:xf numFmtId="164" fontId="0" fillId="0" borderId="1" applyNumberFormat="1" applyBorder="1" applyAlignment="1">
      <x:alignment horizontal="right"/>
    </x:xf>
    <x:xf numFmtId="164" fontId="2" fillId="0" borderId="1" applyNumberFormat="1" applyFont="1" applyBorder="1" applyAlignment="1">
      <x:alignment horizontal="right"/>
    </x:xf>
    <x:xf numFmtId="0" fontId="0" fillId="0" borderId="1" applyBorder="1"/>
    <x:xf numFmtId="0" fontId="5" fillId="2" borderId="1" applyFont="1" applyFill="1" applyBorder="1"/>
    <x:xf numFmtId="164" fontId="5" fillId="2" borderId="1" applyNumberFormat="1" applyFont="1" applyFill="1" applyBorder="1" applyAlignment="1">
      <x:alignment horizontal="right"/>
    </x:xf>
    <x:xf numFmtId="9" fontId="0" fillId="3" borderId="1" applyNumberFormat="1" applyFill="1" applyBorder="1" applyAlignment="1">
      <x:alignment horizontal="center"/>
    </x:xf>
    <x:xf numFmtId="9" fontId="0" fillId="0" borderId="1" applyNumberFormat="1" applyBorder="1" applyAlignment="1">
      <x:alignment horizontal="center"/>
    </x:xf>
    <x:xf numFmtId="9" fontId="5" fillId="2" borderId="1" applyNumberFormat="1" applyFont="1" applyFill="1" applyBorder="1" applyAlignment="1">
      <x:alignment horizontal="center"/>
    </x:xf>
    <x:xf numFmtId="165" fontId="0" fillId="0" borderId="1" applyNumberFormat="1" applyBorder="1" applyAlignment="1">
      <x:alignment horizontal="right"/>
    </x:xf>
    <x:xf numFmtId="0" fontId="0" fillId="0" borderId="1" applyBorder="1" applyAlignment="1">
      <x:alignment horizontal="center"/>
    </x:xf>
  </x:cellXfs>
  <x:cellStyles count="1">
    <x:cellStyle name="Normal" xfId="0" builtinId="0"/>
  </x:cellStyles>
  <x:dxfs count="3">
    <x:dxf>
      <x:font>
        <x:color rgb="FF9C0006"/>
        <x:b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e44957a872e340a9" /><Relationship Type="http://schemas.openxmlformats.org/officeDocument/2006/relationships/worksheet" Target="/xl/worksheets/sheet3.xml" Id="R2514d55d24b843cc" /><Relationship Type="http://schemas.openxmlformats.org/officeDocument/2006/relationships/worksheet" Target="/xl/worksheets/sheet4.xml" Id="R42945645d0794b86" /><Relationship Type="http://schemas.openxmlformats.org/officeDocument/2006/relationships/styles" Target="/xl/styles.xml" Id="R606f46d5c0f940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3546df55964a1f" /></Relationships>
</file>

<file path=xl/drawings/charts/chart1.xml><?xml version="1.0" encoding="utf-8"?>
<c:chartSpace xmlns:c="http://schemas.openxmlformats.org/drawingml/2006/chart"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Department Quarterly Spending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Q1</c:v>
          </c:tx>
          <c:spPr>
            <a:solidFill xmlns:a="http://schemas.openxmlformats.org/drawingml/2006/main">
              <a:srgbClr val="2D5016"/>
            </a:solidFill>
          </c:spPr>
          <c:cat>
            <c:strLit>
              <c:ptCount val="7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HR</c:v>
              </c:pt>
              <c:pt idx="4">
                <c:v>Operations</c:v>
              </c:pt>
              <c:pt idx="5">
                <c:v>R&amp;D</c:v>
              </c:pt>
              <c:pt idx="6">
                <c:v>Legal</c:v>
              </c:pt>
            </c:strLit>
          </c:cat>
          <c:val>
            <c:numLit>
              <c:formatCode>General</c:formatCode>
              <c:ptCount val="7"/>
              <c:pt idx="0">
                <c:v>210000</c:v>
              </c:pt>
              <c:pt idx="1">
                <c:v>105000</c:v>
              </c:pt>
              <c:pt idx="2">
                <c:v>130000</c:v>
              </c:pt>
              <c:pt idx="3">
                <c:v>52000</c:v>
              </c:pt>
              <c:pt idx="4">
                <c:v>78000</c:v>
              </c:pt>
              <c:pt idx="5">
                <c:v>55000</c:v>
              </c:pt>
              <c:pt idx="6">
                <c:v>28000</c:v>
              </c:pt>
            </c:numLit>
          </c:val>
        </c:ser>
        <c:ser>
          <c:idx val="1"/>
          <c:order val="1"/>
          <c:tx>
            <c:v>Q2</c:v>
          </c:tx>
          <c:spPr>
            <a:solidFill xmlns:a="http://schemas.openxmlformats.org/drawingml/2006/main">
              <a:srgbClr val="548235"/>
            </a:solidFill>
          </c:spPr>
          <c:cat>
            <c:strLit>
              <c:ptCount val="7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HR</c:v>
              </c:pt>
              <c:pt idx="4">
                <c:v>Operations</c:v>
              </c:pt>
              <c:pt idx="5">
                <c:v>R&amp;D</c:v>
              </c:pt>
              <c:pt idx="6">
                <c:v>Legal</c:v>
              </c:pt>
            </c:strLit>
          </c:cat>
          <c:val>
            <c:numLit>
              <c:formatCode>General</c:formatCode>
              <c:ptCount val="7"/>
              <c:pt idx="0">
                <c:v>195000</c:v>
              </c:pt>
              <c:pt idx="1">
                <c:v>110000</c:v>
              </c:pt>
              <c:pt idx="2">
                <c:v>125000</c:v>
              </c:pt>
              <c:pt idx="3">
                <c:v>48000</c:v>
              </c:pt>
              <c:pt idx="4">
                <c:v>82000</c:v>
              </c:pt>
              <c:pt idx="5">
                <c:v>50000</c:v>
              </c:pt>
              <c:pt idx="6">
                <c:v>25000</c:v>
              </c:pt>
            </c:numLit>
          </c:val>
        </c:ser>
        <c:ser>
          <c:idx val="2"/>
          <c:order val="2"/>
          <c:tx>
            <c:v>Q3</c:v>
          </c:tx>
          <c:spPr>
            <a:solidFill xmlns:a="http://schemas.openxmlformats.org/drawingml/2006/main">
              <a:srgbClr val="A9D18E"/>
            </a:solidFill>
          </c:spPr>
          <c:cat>
            <c:strLit>
              <c:ptCount val="7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HR</c:v>
              </c:pt>
              <c:pt idx="4">
                <c:v>Operations</c:v>
              </c:pt>
              <c:pt idx="5">
                <c:v>R&amp;D</c:v>
              </c:pt>
              <c:pt idx="6">
                <c:v>Legal</c:v>
              </c:pt>
            </c:strLit>
          </c:cat>
          <c:val>
            <c:numLit>
              <c:formatCode>General</c:formatCode>
              <c:ptCount val="7"/>
              <c:pt idx="0">
                <c:v>220000</c:v>
              </c:pt>
              <c:pt idx="1">
                <c:v>98000</c:v>
              </c:pt>
              <c:pt idx="2">
                <c:v>140000</c:v>
              </c:pt>
              <c:pt idx="3">
                <c:v>55000</c:v>
              </c:pt>
              <c:pt idx="4">
                <c:v>75000</c:v>
              </c:pt>
              <c:pt idx="5">
                <c:v>48000</c:v>
              </c:pt>
              <c:pt idx="6">
                <c:v>30000</c:v>
              </c:pt>
            </c:numLit>
          </c:val>
        </c:ser>
        <c:ser>
          <c:idx val="3"/>
          <c:order val="3"/>
          <c:tx>
            <c:v>Q4</c:v>
          </c:tx>
          <c:spPr>
            <a:solidFill xmlns:a="http://schemas.openxmlformats.org/drawingml/2006/main">
              <a:srgbClr val="C5E0B4"/>
            </a:solidFill>
          </c:spPr>
          <c:cat>
            <c:strLit>
              <c:ptCount val="7"/>
              <c:pt idx="0">
                <c:v>Engineering</c:v>
              </c:pt>
              <c:pt idx="1">
                <c:v>Marketing</c:v>
              </c:pt>
              <c:pt idx="2">
                <c:v>Sales</c:v>
              </c:pt>
              <c:pt idx="3">
                <c:v>HR</c:v>
              </c:pt>
              <c:pt idx="4">
                <c:v>Operations</c:v>
              </c:pt>
              <c:pt idx="5">
                <c:v>R&amp;D</c:v>
              </c:pt>
              <c:pt idx="6">
                <c:v>Legal</c:v>
              </c:pt>
            </c:strLit>
          </c:cat>
          <c:val>
            <c:numLit>
              <c:formatCode>General</c:formatCode>
              <c:ptCount val="7"/>
              <c:pt idx="0">
                <c:v>115000</c:v>
              </c:pt>
              <c:pt idx="1">
                <c:v>62000</c:v>
              </c:pt>
              <c:pt idx="2">
                <c:v>80000</c:v>
              </c:pt>
              <c:pt idx="3">
                <c:v>30000</c:v>
              </c:pt>
              <c:pt idx="4">
                <c:v>50000</c:v>
              </c:pt>
              <c:pt idx="5">
                <c:v>32000</c:v>
              </c:pt>
              <c:pt idx="6">
                <c:v>12000</c:v>
              </c:pt>
            </c:numLit>
          </c:val>
        </c:ser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Department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Amount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>
      <xdr:nvGraphicFramePr>
        <xdr:cNvPr id="2" name="Department Quarterly Spending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3546df55964a1f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ca93f81fcbe4c6d" /></Relationships>
</file>

<file path=xl/worksheets/sheet2.xml><?xml version="1.0" encoding="utf-8"?>
<x:worksheet xmlns:x="http://schemas.openxmlformats.org/spreadsheetml/2006/main">
  <x:sheetPr>
    <x:tabColor rgb="FF2D5016"/>
  </x:sheetPr>
  <x:cols>
    <x:col min="1" max="1" width="16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 ht="40" customHeight="1">
      <x:c r="A1" s="1" t="str">
        <x:v>2026 Annual Budget Tracker</x:v>
      </x:c>
    </x:row>
    <x:row r="3">
      <x:c r="A3" s="2" t="str">
        <x:v>Total Budget</x:v>
      </x:c>
      <x:c r="C3" s="2" t="str">
        <x:v>Total Spent</x:v>
      </x:c>
      <x:c r="E3" s="2" t="str">
        <x:v>Remaining</x:v>
      </x:c>
      <x:c r="G3" s="2" t="str">
        <x:v>Utilization</x:v>
      </x:c>
    </x:row>
    <x:row r="4">
      <x:c r="A4" s="5">
        <x:v>2500000</x:v>
      </x:c>
      <x:c r="C4" s="3">
        <x:v>1875000</x:v>
      </x:c>
      <x:c r="E4" s="5">
        <x:v>625000</x:v>
      </x:c>
      <x:c r="G4" s="4">
        <x:v>0.75</x:v>
      </x:c>
    </x:row>
    <x:row r="7">
      <x:c r="A7" s="6" t="str">
        <x:v>Department</x:v>
      </x:c>
      <x:c r="B7" s="6" t="str">
        <x:v>Budget</x:v>
      </x:c>
      <x:c r="C7" s="6" t="str">
        <x:v>Q1</x:v>
      </x:c>
      <x:c r="D7" s="6" t="str">
        <x:v>Q2</x:v>
      </x:c>
      <x:c r="E7" s="6" t="str">
        <x:v>Q3</x:v>
      </x:c>
      <x:c r="F7" s="6" t="str">
        <x:v>Q4</x:v>
      </x:c>
      <x:c r="G7" s="6" t="str">
        <x:v>Total</x:v>
      </x:c>
      <x:c r="H7" s="6" t="str">
        <x:v>Utilization</x:v>
      </x:c>
    </x:row>
    <x:row r="8">
      <x:c r="A8" s="7" t="str">
        <x:v>Engineering</x:v>
      </x:c>
      <x:c r="B8" s="8">
        <x:v>800000</x:v>
      </x:c>
      <x:c r="C8" s="8">
        <x:v>210000</x:v>
      </x:c>
      <x:c r="D8" s="8">
        <x:v>195000</x:v>
      </x:c>
      <x:c r="E8" s="8">
        <x:v>220000</x:v>
      </x:c>
      <x:c r="F8" s="8">
        <x:v>115000</x:v>
      </x:c>
      <x:c r="G8" s="9">
        <x:f>SUM(C8:F8)</x:f>
      </x:c>
      <x:c r="H8" s="13">
        <x:f>G8/B8</x:f>
      </x:c>
    </x:row>
    <x:row r="9">
      <x:c r="A9" s="10" t="str">
        <x:v>Marketing</x:v>
      </x:c>
      <x:c r="B9" s="8">
        <x:v>400000</x:v>
      </x:c>
      <x:c r="C9" s="8">
        <x:v>105000</x:v>
      </x:c>
      <x:c r="D9" s="8">
        <x:v>110000</x:v>
      </x:c>
      <x:c r="E9" s="8">
        <x:v>98000</x:v>
      </x:c>
      <x:c r="F9" s="8">
        <x:v>62000</x:v>
      </x:c>
      <x:c r="G9" s="9">
        <x:f>SUM(C9:F9)</x:f>
      </x:c>
      <x:c r="H9" s="14">
        <x:f>G9/B9</x:f>
      </x:c>
    </x:row>
    <x:row r="10">
      <x:c r="A10" s="7" t="str">
        <x:v>Sales</x:v>
      </x:c>
      <x:c r="B10" s="8">
        <x:v>500000</x:v>
      </x:c>
      <x:c r="C10" s="8">
        <x:v>130000</x:v>
      </x:c>
      <x:c r="D10" s="8">
        <x:v>125000</x:v>
      </x:c>
      <x:c r="E10" s="8">
        <x:v>140000</x:v>
      </x:c>
      <x:c r="F10" s="8">
        <x:v>80000</x:v>
      </x:c>
      <x:c r="G10" s="9">
        <x:f>SUM(C10:F10)</x:f>
      </x:c>
      <x:c r="H10" s="13">
        <x:f>G10/B10</x:f>
      </x:c>
    </x:row>
    <x:row r="11">
      <x:c r="A11" s="10" t="str">
        <x:v>HR</x:v>
      </x:c>
      <x:c r="B11" s="8">
        <x:v>200000</x:v>
      </x:c>
      <x:c r="C11" s="8">
        <x:v>52000</x:v>
      </x:c>
      <x:c r="D11" s="8">
        <x:v>48000</x:v>
      </x:c>
      <x:c r="E11" s="8">
        <x:v>55000</x:v>
      </x:c>
      <x:c r="F11" s="8">
        <x:v>30000</x:v>
      </x:c>
      <x:c r="G11" s="9">
        <x:f>SUM(C11:F11)</x:f>
      </x:c>
      <x:c r="H11" s="14">
        <x:f>G11/B11</x:f>
      </x:c>
    </x:row>
    <x:row r="12">
      <x:c r="A12" s="7" t="str">
        <x:v>Operations</x:v>
      </x:c>
      <x:c r="B12" s="8">
        <x:v>300000</x:v>
      </x:c>
      <x:c r="C12" s="8">
        <x:v>78000</x:v>
      </x:c>
      <x:c r="D12" s="8">
        <x:v>82000</x:v>
      </x:c>
      <x:c r="E12" s="8">
        <x:v>75000</x:v>
      </x:c>
      <x:c r="F12" s="8">
        <x:v>50000</x:v>
      </x:c>
      <x:c r="G12" s="9">
        <x:f>SUM(C12:F12)</x:f>
      </x:c>
      <x:c r="H12" s="13">
        <x:f>G12/B12</x:f>
      </x:c>
    </x:row>
    <x:row r="13">
      <x:c r="A13" s="10" t="str">
        <x:v>R&amp;D</x:v>
      </x:c>
      <x:c r="B13" s="8">
        <x:v>200000</x:v>
      </x:c>
      <x:c r="C13" s="8">
        <x:v>55000</x:v>
      </x:c>
      <x:c r="D13" s="8">
        <x:v>50000</x:v>
      </x:c>
      <x:c r="E13" s="8">
        <x:v>48000</x:v>
      </x:c>
      <x:c r="F13" s="8">
        <x:v>32000</x:v>
      </x:c>
      <x:c r="G13" s="9">
        <x:f>SUM(C13:F13)</x:f>
      </x:c>
      <x:c r="H13" s="14">
        <x:f>G13/B13</x:f>
      </x:c>
    </x:row>
    <x:row r="14">
      <x:c r="A14" s="7" t="str">
        <x:v>Legal</x:v>
      </x:c>
      <x:c r="B14" s="8">
        <x:v>100000</x:v>
      </x:c>
      <x:c r="C14" s="8">
        <x:v>28000</x:v>
      </x:c>
      <x:c r="D14" s="8">
        <x:v>25000</x:v>
      </x:c>
      <x:c r="E14" s="8">
        <x:v>30000</x:v>
      </x:c>
      <x:c r="F14" s="8">
        <x:v>12000</x:v>
      </x:c>
      <x:c r="G14" s="9">
        <x:f>SUM(C14:F14)</x:f>
      </x:c>
      <x:c r="H14" s="13">
        <x:f>G14/B14</x:f>
      </x:c>
    </x:row>
    <x:row r="15">
      <x:c r="A15" s="11" t="str">
        <x:v>TOTAL</x:v>
      </x:c>
      <x:c r="B15" s="12">
        <x:f>SUM(B8:B14)</x:f>
      </x:c>
      <x:c r="C15" s="12">
        <x:f>SUM(C8:C14)</x:f>
      </x:c>
      <x:c r="D15" s="12">
        <x:f>SUM(D8:D14)</x:f>
      </x:c>
      <x:c r="E15" s="12">
        <x:f>SUM(E8:E14)</x:f>
      </x:c>
      <x:c r="F15" s="12">
        <x:f>SUM(F8:F14)</x:f>
      </x:c>
      <x:c r="G15" s="12">
        <x:f>SUM(G8:G14)</x:f>
      </x:c>
      <x:c r="H15" s="15">
        <x:f>G15/B15</x:f>
      </x:c>
    </x:row>
  </x:sheetData>
  <x:mergeCells>
    <x:mergeCell ref="A1:H1"/>
    <x:mergeCell ref="C3:D3"/>
    <x:mergeCell ref="G3:H3"/>
    <x:mergeCell ref="C4:D4"/>
    <x:mergeCell ref="E4:F4"/>
    <x:mergeCell ref="A3:B3"/>
    <x:mergeCell ref="E3:F3"/>
    <x:mergeCell ref="A4:B4"/>
    <x:mergeCell ref="G4:H4"/>
  </x:mergeCells>
  <x:conditionalFormatting sqref="H8:H14">
    <x:cfRule type="expression" dxfId="0" priority="1">
      <x:formula>$H8&gt;0.9</x:formula>
    </x:cfRule>
  </x:conditionalFormatting>
  <x:drawing xmlns:r="http://schemas.openxmlformats.org/officeDocument/2006/relationships" r:id="R0ca93f81fcbe4c6d"/>
</x:worksheet>
</file>

<file path=xl/worksheets/sheet3.xml><?xml version="1.0" encoding="utf-8"?>
<x:worksheet xmlns:x="http://schemas.openxmlformats.org/spreadsheetml/2006/main">
  <x:sheetPr>
    <x:tabColor rgb="FF548235"/>
  </x:sheetPr>
  <x:sheetViews>
    <x:sheetView workbookViewId="0">
      <x:pane ySplit="1" topLeftCell="A2" activePane="bottomLeft" state="frozen"/>
    </x:sheetView>
  </x:sheetViews>
  <x:cols>
    <x:col min="1" max="1" width="14" customWidth="1"/>
    <x:col min="2" max="2" width="16" customWidth="1"/>
    <x:col min="3" max="3" width="16" customWidth="1"/>
    <x:col min="4" max="4" width="28" customWidth="1"/>
    <x:col min="5" max="5" width="14" customWidth="1"/>
    <x:col min="6" max="6" width="16" customWidth="1"/>
    <x:col min="7" max="7" width="12" customWidth="1"/>
  </x:cols>
  <x:sheetData>
    <x:row r="1">
      <x:c r="A1" s="6" t="str">
        <x:v>Date</x:v>
      </x:c>
      <x:c r="B1" s="6" t="str">
        <x:v>Department</x:v>
      </x:c>
      <x:c r="C1" s="6" t="str">
        <x:v>Category</x:v>
      </x:c>
      <x:c r="D1" s="6" t="str">
        <x:v>Description</x:v>
      </x:c>
      <x:c r="E1" s="6" t="str">
        <x:v>Amount</x:v>
      </x:c>
      <x:c r="F1" s="6" t="str">
        <x:v>Approver</x:v>
      </x:c>
      <x:c r="G1" s="6" t="str">
        <x:v>Status</x:v>
      </x:c>
    </x:row>
    <x:row r="2">
      <x:c r="A2" s="10" t="str">
        <x:v>2026-01-15</x:v>
      </x:c>
      <x:c r="B2" s="10" t="str">
        <x:v>Engineering</x:v>
      </x:c>
      <x:c r="C2" s="10" t="str">
        <x:v>Software</x:v>
      </x:c>
      <x:c r="D2" s="10" t="str">
        <x:v>Cloud hosting Q1</x:v>
      </x:c>
      <x:c r="E2" s="16">
        <x:v>45000</x:v>
      </x:c>
      <x:c r="F2" s="10" t="str">
        <x:v>John Smith</x:v>
      </x:c>
      <x:c r="G2" s="17" t="str">
        <x:v>Approved</x:v>
      </x:c>
    </x:row>
    <x:row r="3">
      <x:c r="A3" s="10" t="str">
        <x:v>2026-01-22</x:v>
      </x:c>
      <x:c r="B3" s="10" t="str">
        <x:v>Marketing</x:v>
      </x:c>
      <x:c r="C3" s="10" t="str">
        <x:v>Advertising</x:v>
      </x:c>
      <x:c r="D3" s="10" t="str">
        <x:v>Google Ads campaign</x:v>
      </x:c>
      <x:c r="E3" s="16">
        <x:v>28000</x:v>
      </x:c>
      <x:c r="F3" s="10" t="str">
        <x:v>Sarah Lee</x:v>
      </x:c>
      <x:c r="G3" s="17" t="str">
        <x:v>Approved</x:v>
      </x:c>
    </x:row>
    <x:row r="4">
      <x:c r="A4" s="10" t="str">
        <x:v>2026-02-03</x:v>
      </x:c>
      <x:c r="B4" s="10" t="str">
        <x:v>Sales</x:v>
      </x:c>
      <x:c r="C4" s="10" t="str">
        <x:v>Travel</x:v>
      </x:c>
      <x:c r="D4" s="10" t="str">
        <x:v>Client visit - NYC</x:v>
      </x:c>
      <x:c r="E4" s="16">
        <x:v>5200</x:v>
      </x:c>
      <x:c r="F4" s="10" t="str">
        <x:v>Mike Chen</x:v>
      </x:c>
      <x:c r="G4" s="17" t="str">
        <x:v>Approved</x:v>
      </x:c>
    </x:row>
    <x:row r="5">
      <x:c r="A5" s="10" t="str">
        <x:v>2026-02-10</x:v>
      </x:c>
      <x:c r="B5" s="10" t="str">
        <x:v>HR</x:v>
      </x:c>
      <x:c r="C5" s="10" t="str">
        <x:v>Training</x:v>
      </x:c>
      <x:c r="D5" s="10" t="str">
        <x:v>Leadership workshop</x:v>
      </x:c>
      <x:c r="E5" s="16">
        <x:v>12000</x:v>
      </x:c>
      <x:c r="F5" s="10" t="str">
        <x:v>Lisa Wang</x:v>
      </x:c>
      <x:c r="G5" s="17" t="str">
        <x:v>Approved</x:v>
      </x:c>
    </x:row>
    <x:row r="6">
      <x:c r="A6" s="10" t="str">
        <x:v>2026-02-18</x:v>
      </x:c>
      <x:c r="B6" s="10" t="str">
        <x:v>Operations</x:v>
      </x:c>
      <x:c r="C6" s="10" t="str">
        <x:v>Equipment</x:v>
      </x:c>
      <x:c r="D6" s="10" t="str">
        <x:v>Server upgrade</x:v>
      </x:c>
      <x:c r="E6" s="16">
        <x:v>35000</x:v>
      </x:c>
      <x:c r="F6" s="10" t="str">
        <x:v>Tom Brown</x:v>
      </x:c>
      <x:c r="G6" s="17" t="str">
        <x:v>Pending</x:v>
      </x:c>
    </x:row>
    <x:row r="7">
      <x:c r="A7" s="10" t="str">
        <x:v>2026-03-05</x:v>
      </x:c>
      <x:c r="B7" s="10" t="str">
        <x:v>R&amp;D</x:v>
      </x:c>
      <x:c r="C7" s="10" t="str">
        <x:v>Research</x:v>
      </x:c>
      <x:c r="D7" s="10" t="str">
        <x:v>AI model training costs</x:v>
      </x:c>
      <x:c r="E7" s="16">
        <x:v>18500</x:v>
      </x:c>
      <x:c r="F7" s="10" t="str">
        <x:v>Jane Doe</x:v>
      </x:c>
      <x:c r="G7" s="17" t="str">
        <x:v>Approved</x:v>
      </x:c>
    </x:row>
    <x:row r="8">
      <x:c r="A8" s="10" t="str">
        <x:v>2026-03-12</x:v>
      </x:c>
      <x:c r="B8" s="10" t="str">
        <x:v>Legal</x:v>
      </x:c>
      <x:c r="C8" s="10" t="str">
        <x:v>Consulting</x:v>
      </x:c>
      <x:c r="D8" s="10" t="str">
        <x:v>Patent filing fees</x:v>
      </x:c>
      <x:c r="E8" s="16">
        <x:v>8500</x:v>
      </x:c>
      <x:c r="F8" s="10" t="str">
        <x:v>Bob Miller</x:v>
      </x:c>
      <x:c r="G8" s="17" t="str">
        <x:v>Approved</x:v>
      </x:c>
    </x:row>
    <x:row r="9">
      <x:c r="A9" s="10" t="str">
        <x:v>2026-03-20</x:v>
      </x:c>
      <x:c r="B9" s="10" t="str">
        <x:v>Engineering</x:v>
      </x:c>
      <x:c r="C9" s="10" t="str">
        <x:v>Hardware</x:v>
      </x:c>
      <x:c r="D9" s="10" t="str">
        <x:v>Developer laptops x5</x:v>
      </x:c>
      <x:c r="E9" s="16">
        <x:v>15000</x:v>
      </x:c>
      <x:c r="F9" s="10" t="str">
        <x:v>John Smith</x:v>
      </x:c>
      <x:c r="G9" s="17" t="str">
        <x:v>Approved</x:v>
      </x:c>
    </x:row>
    <x:row r="10">
      <x:c r="A10" s="10" t="str">
        <x:v>2026-04-01</x:v>
      </x:c>
      <x:c r="B10" s="10" t="str">
        <x:v>Marketing</x:v>
      </x:c>
      <x:c r="C10" s="10" t="str">
        <x:v>Events</x:v>
      </x:c>
      <x:c r="D10" s="10" t="str">
        <x:v>Trade show booth</x:v>
      </x:c>
      <x:c r="E10" s="16">
        <x:v>22000</x:v>
      </x:c>
      <x:c r="F10" s="10" t="str">
        <x:v>Sarah Lee</x:v>
      </x:c>
      <x:c r="G10" s="17" t="str">
        <x:v>Pending</x:v>
      </x:c>
    </x:row>
    <x:row r="11">
      <x:c r="A11" s="10" t="str">
        <x:v>2026-04-10</x:v>
      </x:c>
      <x:c r="B11" s="10" t="str">
        <x:v>Sales</x:v>
      </x:c>
      <x:c r="C11" s="10" t="str">
        <x:v>Software</x:v>
      </x:c>
      <x:c r="D11" s="10" t="str">
        <x:v>CRM license renewal</x:v>
      </x:c>
      <x:c r="E11" s="16">
        <x:v>18000</x:v>
      </x:c>
      <x:c r="F11" s="10" t="str">
        <x:v>Mike Chen</x:v>
      </x:c>
      <x:c r="G11" s="17" t="str">
        <x:v>Approved</x:v>
      </x:c>
    </x:row>
    <x:row r="12">
      <x:c r="A12" s="10" t="str">
        <x:v>2026-04-22</x:v>
      </x:c>
      <x:c r="B12" s="10" t="str">
        <x:v>HR</x:v>
      </x:c>
      <x:c r="C12" s="10" t="str">
        <x:v>Benefits</x:v>
      </x:c>
      <x:c r="D12" s="10" t="str">
        <x:v>Health insurance premium</x:v>
      </x:c>
      <x:c r="E12" s="16">
        <x:v>42000</x:v>
      </x:c>
      <x:c r="F12" s="10" t="str">
        <x:v>Lisa Wang</x:v>
      </x:c>
      <x:c r="G12" s="17" t="str">
        <x:v>Approved</x:v>
      </x:c>
    </x:row>
    <x:row r="13">
      <x:c r="A13" s="10" t="str">
        <x:v>2026-05-05</x:v>
      </x:c>
      <x:c r="B13" s="10" t="str">
        <x:v>Operations</x:v>
      </x:c>
      <x:c r="C13" s="10" t="str">
        <x:v>Maintenance</x:v>
      </x:c>
      <x:c r="D13" s="10" t="str">
        <x:v>Office renovation</x:v>
      </x:c>
      <x:c r="E13" s="16">
        <x:v>28000</x:v>
      </x:c>
      <x:c r="F13" s="10" t="str">
        <x:v>Tom Brown</x:v>
      </x:c>
      <x:c r="G13" s="17" t="str">
        <x:v>Rejected</x:v>
      </x:c>
    </x:row>
    <x:row r="14">
      <x:c r="A14" s="10" t="str">
        <x:v>2026-05-15</x:v>
      </x:c>
      <x:c r="B14" s="10" t="str">
        <x:v>Engineering</x:v>
      </x:c>
      <x:c r="C14" s="10" t="str">
        <x:v>Software</x:v>
      </x:c>
      <x:c r="D14" s="10" t="str">
        <x:v>IDE licenses annual</x:v>
      </x:c>
      <x:c r="E14" s="16">
        <x:v>9600</x:v>
      </x:c>
      <x:c r="F14" s="10" t="str">
        <x:v>John Smith</x:v>
      </x:c>
      <x:c r="G14" s="17" t="str">
        <x:v>Approved</x:v>
      </x:c>
    </x:row>
    <x:row r="15">
      <x:c r="A15" s="10" t="str">
        <x:v>2026-06-01</x:v>
      </x:c>
      <x:c r="B15" s="10" t="str">
        <x:v>R&amp;D</x:v>
      </x:c>
      <x:c r="C15" s="10" t="str">
        <x:v>Equipment</x:v>
      </x:c>
      <x:c r="D15" s="10" t="str">
        <x:v>Lab equipment upgrade</x:v>
      </x:c>
      <x:c r="E15" s="16">
        <x:v>25000</x:v>
      </x:c>
      <x:c r="F15" s="10" t="str">
        <x:v>Jane Doe</x:v>
      </x:c>
      <x:c r="G15" s="17" t="str">
        <x:v>Pending</x:v>
      </x:c>
    </x:row>
    <x:row r="16">
      <x:c r="A16" s="10" t="str">
        <x:v>2026-06-10</x:v>
      </x:c>
      <x:c r="B16" s="10" t="str">
        <x:v>Marketing</x:v>
      </x:c>
      <x:c r="C16" s="10" t="str">
        <x:v>Advertising</x:v>
      </x:c>
      <x:c r="D16" s="10" t="str">
        <x:v>Social media campaign</x:v>
      </x:c>
      <x:c r="E16" s="16">
        <x:v>15000</x:v>
      </x:c>
      <x:c r="F16" s="10" t="str">
        <x:v>Sarah Lee</x:v>
      </x:c>
      <x:c r="G16" s="17" t="str">
        <x:v>Approved</x:v>
      </x:c>
    </x:row>
    <x:row r="17">
      <x:c r="A17" s="10" t="str">
        <x:v>2026-06-25</x:v>
      </x:c>
      <x:c r="B17" s="10" t="str">
        <x:v>Sales</x:v>
      </x:c>
      <x:c r="C17" s="10" t="str">
        <x:v>Travel</x:v>
      </x:c>
      <x:c r="D17" s="10" t="str">
        <x:v>Q2 team offsite</x:v>
      </x:c>
      <x:c r="E17" s="16">
        <x:v>8500</x:v>
      </x:c>
      <x:c r="F17" s="10" t="str">
        <x:v>Mike Chen</x:v>
      </x:c>
      <x:c r="G17" s="17" t="str">
        <x:v>Approved</x:v>
      </x:c>
    </x:row>
    <x:row r="18">
      <x:c r="A18" s="10" t="str">
        <x:v>2026-07-08</x:v>
      </x:c>
      <x:c r="B18" s="10" t="str">
        <x:v>Legal</x:v>
      </x:c>
      <x:c r="C18" s="10" t="str">
        <x:v>Consulting</x:v>
      </x:c>
      <x:c r="D18" s="10" t="str">
        <x:v>Compliance audit</x:v>
      </x:c>
      <x:c r="E18" s="16">
        <x:v>12000</x:v>
      </x:c>
      <x:c r="F18" s="10" t="str">
        <x:v>Bob Miller</x:v>
      </x:c>
      <x:c r="G18" s="17" t="str">
        <x:v>Approved</x:v>
      </x:c>
    </x:row>
    <x:row r="19">
      <x:c r="A19" s="10" t="str">
        <x:v>2026-07-15</x:v>
      </x:c>
      <x:c r="B19" s="10" t="str">
        <x:v>Engineering</x:v>
      </x:c>
      <x:c r="C19" s="10" t="str">
        <x:v>Training</x:v>
      </x:c>
      <x:c r="D19" s="10" t="str">
        <x:v>Tech conference tickets</x:v>
      </x:c>
      <x:c r="E19" s="16">
        <x:v>6800</x:v>
      </x:c>
      <x:c r="F19" s="10" t="str">
        <x:v>John Smith</x:v>
      </x:c>
      <x:c r="G19" s="17" t="str">
        <x:v>Rejected</x:v>
      </x:c>
    </x:row>
    <x:row r="20">
      <x:c r="A20" s="10" t="str">
        <x:v>2026-07-22</x:v>
      </x:c>
      <x:c r="B20" s="10" t="str">
        <x:v>Operations</x:v>
      </x:c>
      <x:c r="C20" s="10" t="str">
        <x:v>Supplies</x:v>
      </x:c>
      <x:c r="D20" s="10" t="str">
        <x:v>Office furniture</x:v>
      </x:c>
      <x:c r="E20" s="16">
        <x:v>15500</x:v>
      </x:c>
      <x:c r="F20" s="10" t="str">
        <x:v>Tom Brown</x:v>
      </x:c>
      <x:c r="G20" s="17" t="str">
        <x:v>Approved</x:v>
      </x:c>
    </x:row>
    <x:row r="21">
      <x:c r="A21" s="10" t="str">
        <x:v>2026-08-01</x:v>
      </x:c>
      <x:c r="B21" s="10" t="str">
        <x:v>HR</x:v>
      </x:c>
      <x:c r="C21" s="10" t="str">
        <x:v>Recruiting</x:v>
      </x:c>
      <x:c r="D21" s="10" t="str">
        <x:v>Recruiting agency fee</x:v>
      </x:c>
      <x:c r="E21" s="16">
        <x:v>20000</x:v>
      </x:c>
      <x:c r="F21" s="10" t="str">
        <x:v>Lisa Wang</x:v>
      </x:c>
      <x:c r="G21" s="17" t="str">
        <x:v>Pending</x:v>
      </x:c>
    </x:row>
  </x:sheetData>
  <x:autoFilter ref="A1:G21"/>
  <x:conditionalFormatting sqref="A2:G21">
    <x:cfRule type="expression" dxfId="2" priority="1">
      <x:formula>$G2="Pending"</x:formula>
    </x:cfRule>
  </x:conditionalFormatting>
  <x:conditionalFormatting sqref="A2:G21">
    <x:cfRule type="expression" dxfId="1" priority="1">
      <x:formula>$G2="Rejected"</x:formula>
    </x:cfRule>
  </x:conditionalFormatting>
  <x:dataValidations count="2">
    <x:dataValidation type="list" allowBlank="1" showInputMessage="1" showErrorMessage="1" promptTitle="Department" prompt="Select a department" sqref="B2:B100">
      <x:formula1>"Engineering,Marketing,Sales,HR,Operations,R&amp;D,Legal"</x:formula1>
    </x:dataValidation>
    <x:dataValidation type="list" allowBlank="1" showInputMessage="1" showErrorMessage="1" promptTitle="Status" prompt="Select a status" sqref="G2:G100">
      <x:formula1>"Approved,Pending,Rejected"</x:formula1>
    </x:dataValidation>
  </x:dataValidations>
</x:worksheet>
</file>

<file path=xl/worksheets/sheet4.xml><?xml version="1.0" encoding="utf-8"?>
<x:worksheet xmlns:x="http://schemas.openxmlformats.org/spreadsheetml/2006/main">
  <x:sheetPr xmlns:x="http://schemas.openxmlformats.org/spreadsheetml/2006/main">
    <x:tabColor rgb="FFA9D18E"/>
  </x:sheetPr>
  <x:cols xmlns:x="http://schemas.openxmlformats.org/spreadsheetml/2006/main">
    <x:col min="1" max="1" width="18" customWidth="1"/>
    <x:col min="3" max="3" width="18" customWidth="1"/>
  </x:cols>
  <x:sheetData xmlns:x="http://schemas.openxmlformats.org/spreadsheetml/2006/main">
    <x:row r="1">
      <x:c r="A1" s="6" t="str">
        <x:v>Departments</x:v>
      </x:c>
      <x:c r="C1" s="6" t="str">
        <x:v>Categories</x:v>
      </x:c>
    </x:row>
    <x:row r="2">
      <x:c r="A2" s="10" t="str">
        <x:v>Engineering</x:v>
      </x:c>
      <x:c r="C2" s="10" t="str">
        <x:v>Software</x:v>
      </x:c>
    </x:row>
    <x:row r="3">
      <x:c r="A3" s="10" t="str">
        <x:v>Marketing</x:v>
      </x:c>
      <x:c r="C3" s="10" t="str">
        <x:v>Hardware</x:v>
      </x:c>
    </x:row>
    <x:row r="4">
      <x:c r="A4" s="10" t="str">
        <x:v>Sales</x:v>
      </x:c>
      <x:c r="C4" s="10" t="str">
        <x:v>Advertising</x:v>
      </x:c>
    </x:row>
    <x:row r="5">
      <x:c r="A5" s="10" t="str">
        <x:v>HR</x:v>
      </x:c>
      <x:c r="C5" s="10" t="str">
        <x:v>Travel</x:v>
      </x:c>
    </x:row>
    <x:row r="6">
      <x:c r="A6" s="10" t="str">
        <x:v>Operations</x:v>
      </x:c>
      <x:c r="C6" s="10" t="str">
        <x:v>Training</x:v>
      </x:c>
    </x:row>
    <x:row r="7">
      <x:c r="A7" s="10" t="str">
        <x:v>R&amp;D</x:v>
      </x:c>
      <x:c r="C7" s="10" t="str">
        <x:v>Equipment</x:v>
      </x:c>
    </x:row>
    <x:row r="8">
      <x:c r="A8" s="10" t="str">
        <x:v>Legal</x:v>
      </x:c>
      <x:c r="C8" s="10" t="str">
        <x:v>Consulting</x:v>
      </x:c>
    </x:row>
    <x:row r="9">
      <x:c r="C9" s="10" t="str">
        <x:v>Events</x:v>
      </x:c>
    </x:row>
    <x:row r="10">
      <x:c r="C10" s="10" t="str">
        <x:v>Benefits</x:v>
      </x:c>
    </x:row>
    <x:row r="11">
      <x:c r="C11" s="10" t="str">
        <x:v>Maintenance</x:v>
      </x:c>
    </x:row>
    <x:row r="12">
      <x:c r="C12" s="10" t="str">
        <x:v>Supplies</x:v>
      </x:c>
    </x:row>
    <x:row r="13">
      <x:c r="C13" s="10" t="str">
        <x:v>Research</x:v>
      </x:c>
    </x:row>
    <x:row r="14">
      <x:c r="C14" s="10" t="str">
        <x:v>Recruiting</x:v>
      </x:c>
    </x:row>
  </x:sheetData>
  <x:sheetProtection xmlns:x="http://schemas.openxmlformats.org/spreadsheetml/2006/main" sheet="1" objects="1" scenarios="1"/>
</x:worksheet>
</file>