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4cf6f16fe4525" /></Relationships>
</file>

<file path=xl/workbook.xml><?xml version="1.0" encoding="utf-8"?>
<x:workbook xmlns:r="http://schemas.openxmlformats.org/officeDocument/2006/relationships" xmlns:x="http://schemas.openxmlformats.org/spreadsheetml/2006/main">
  <x:sheets xmlns:r="http://schemas.openxmlformats.org/officeDocument/2006/relationships" xmlns:x="http://schemas.openxmlformats.org/spreadsheetml/2006/main">
    <x:sheet xmlns:r="http://schemas.openxmlformats.org/officeDocument/2006/relationships" name="Grades" sheetId="1" r:id="rId1"/>
    <x:sheet name="Analytics" sheetId="2" r:id="R4ddda0470c9d4717"/>
  </x:sheets>
  <x:calcPr xmlns:r="http://schemas.openxmlformats.org/officeDocument/2006/relationships" xmlns:x="http://schemas.openxmlformats.org/spreadsheetml/2006/main" fullCalcOnLoad="1"/>
</x:workbook>
</file>

<file path=xl/comments2.xml><?xml version="1.0" encoding="utf-8"?>
<x:comments xmlns:x="http://schemas.openxmlformats.org/spreadsheetml/2006/main">
  <x:authors>
    <x:author>Prof. Chen</x:author>
  </x:authors>
  <x:commentList>
    <x:comment ref="L7" authorId="0">
      <x:text>
        <x:r>
          <x:rPr>
            <x:sz val="9"/>
            <x:color indexed="81"/>
            <x:rFont val="Tahoma"/>
          </x:rPr>
          <x:t xml:space="preserve">Showed significant improvement in second half. Consider for tutoring support.</x:t>
        </x:r>
      </x:text>
    </x:comment>
    <x:comment ref="L11" authorId="0">
      <x:text>
        <x:r>
          <x:rPr>
            <x:sz val="9"/>
            <x:color indexed="81"/>
            <x:rFont val="Tahoma"/>
          </x:rPr>
          <x:t xml:space="preserve">Medical leave - missed 2 weeks in March. Extended deadline for HW3.</x:t>
        </x:r>
      </x:text>
    </x:comment>
  </x:commentList>
</x:comments>
</file>

<file path=xl/styles.xml><?xml version="1.0" encoding="utf-8"?>
<x:styleSheet xmlns:x="http://schemas.openxmlformats.org/spreadsheetml/2006/main">
  <x:numFmts count="2">
    <x:numFmt numFmtId="164" formatCode="0.0"/>
    <x:numFmt numFmtId="165" formatCode="0.0&quot;%&quot;"/>
  </x:numFmts>
  <x:fonts count="7">
    <x:font>
      <x:sz val="11"/>
      <x:name val="Calibri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b/>
      <x:sz val="14"/>
      <x:color rgb="FF3C1361"/>
      <x:name val="Calibri"/>
    </x:font>
    <x:font>
      <x:b/>
      <x:sz val="12"/>
      <x:color rgb="FF3C1361"/>
      <x:name val="Calibri"/>
    </x:font>
    <x:font>
      <x:sz val="12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3C1361"/>
      </x:patternFill>
    </x:fill>
    <x:fill>
      <x:patternFill patternType="solid">
        <x:fgColor rgb="FFE8D5F5"/>
      </x:patternFill>
    </x:fill>
  </x:fills>
  <x:borders count="2">
    <x:border>
      <x:left/>
      <x:right/>
      <x:top/>
      <x:bottom/>
      <x:diagonal/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  <x:diagonal/>
    </x:border>
  </x:borders>
  <x:cellStyleXfs count="1">
    <x:xf numFmtId="0" fontId="0" fillId="0" borderId="0"/>
  </x:cellStyleXfs>
  <x:cellXfs count="22">
    <x:xf numFmtId="0" fontId="0" fillId="0" borderId="0"/>
    <x:xf numFmtId="0" fontId="1" fillId="2" borderId="0" applyFont="1" applyFill="1" applyAlignment="1">
      <x:alignment horizontal="center" vertical="center"/>
    </x:xf>
    <x:xf numFmtId="0" fontId="0" fillId="3" borderId="0" applyFill="1" applyAlignment="1">
      <x:alignment horizontal="center" vertical="center" wrapText="1"/>
    </x:xf>
    <x:xf numFmtId="0" fontId="2" fillId="2" borderId="0" applyFont="1" applyFill="1" applyAlignment="1">
      <x:alignment horizontal="center"/>
    </x:xf>
    <x:xf numFmtId="0" fontId="0" fillId="0" borderId="0" applyAlignment="1">
      <x:alignment horizontal="center"/>
    </x:xf>
    <x:xf numFmtId="2" fontId="0" fillId="0" borderId="0" applyNumberFormat="1" applyAlignment="1">
      <x:alignment horizontal="center"/>
    </x:xf>
    <x:xf numFmtId="0" fontId="3" fillId="3" borderId="0" applyFont="1" applyFill="1"/>
    <x:xf numFmtId="164" fontId="0" fillId="3" borderId="0" applyNumberFormat="1" applyFill="1" applyAlignment="1">
      <x:alignment horizontal="center"/>
    </x:xf>
    <x:xf numFmtId="2" fontId="3" fillId="3" borderId="0" applyNumberFormat="1" applyFont="1" applyFill="1" applyAlignment="1">
      <x:alignment horizontal="center"/>
    </x:xf>
    <x:xf numFmtId="0" fontId="0" fillId="3" borderId="0" applyFill="1" applyAlignment="1">
      <x:alignment horizontal="center"/>
    </x:xf>
    <x:xf numFmtId="0" fontId="4" fillId="0" borderId="0" applyFont="1"/>
    <x:xf numFmtId="0" fontId="2" fillId="2" borderId="0" applyFont="1" applyFill="1"/>
    <x:xf numFmtId="0" fontId="5" fillId="0" borderId="0" applyFont="1"/>
    <x:xf numFmtId="165" fontId="6" fillId="0" borderId="0" applyNumberFormat="1" applyFont="1" applyAlignment="1">
      <x:alignment horizontal="center"/>
    </x:xf>
    <x:xf numFmtId="0" fontId="2" fillId="2" borderId="1" applyFont="1" applyFill="1" applyBorder="1" applyAlignment="1">
      <x:alignment horizontal="center"/>
    </x:xf>
    <x:xf numFmtId="0" fontId="0" fillId="0" borderId="1" applyBorder="1" applyAlignment="1">
      <x:alignment horizontal="center"/>
    </x:xf>
    <x:xf numFmtId="0" fontId="0" fillId="0" borderId="1" applyBorder="1"/>
    <x:xf numFmtId="2" fontId="0" fillId="0" borderId="1" applyNumberFormat="1" applyBorder="1" applyAlignment="1">
      <x:alignment horizontal="center"/>
    </x:xf>
    <x:xf numFmtId="0" fontId="3" fillId="3" borderId="1" applyFont="1" applyFill="1" applyBorder="1"/>
    <x:xf numFmtId="164" fontId="0" fillId="3" borderId="1" applyNumberFormat="1" applyFill="1" applyBorder="1" applyAlignment="1">
      <x:alignment horizontal="center"/>
    </x:xf>
    <x:xf numFmtId="2" fontId="3" fillId="3" borderId="1" applyNumberFormat="1" applyFont="1" applyFill="1" applyBorder="1" applyAlignment="1">
      <x:alignment horizontal="center"/>
    </x:xf>
    <x:xf numFmtId="0" fontId="0" fillId="3" borderId="1" applyFill="1" applyBorder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6393b159ccbf4a6a" /><Relationship Type="http://schemas.openxmlformats.org/officeDocument/2006/relationships/worksheet" Target="/xl/worksheets/sheet2.xml" Id="R4ddda0470c9d47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defa8107b74a60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Grade Distribution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Students</c:v>
          </c:tx>
          <c:spPr>
            <a:solidFill xmlns:a="http://schemas.openxmlformats.org/drawingml/2006/main">
              <a:srgbClr val="DC3545"/>
            </a:solidFill>
          </c:spPr>
          <c:cat>
            <c:strLit>
              <c:ptCount val="5"/>
              <c:pt idx="0">
                <c:v>F (0-59)</c:v>
              </c:pt>
              <c:pt idx="1">
                <c:v>D (60-69)</c:v>
              </c:pt>
              <c:pt idx="2">
                <c:v>C (70-79)</c:v>
              </c:pt>
              <c:pt idx="3">
                <c:v>B (80-89)</c:v>
              </c:pt>
              <c:pt idx="4">
                <c:v>A (90-100)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2</c:v>
              </c:pt>
              <c:pt idx="2">
                <c:v>3</c:v>
              </c:pt>
              <c:pt idx="3">
                <c:v>6</c:v>
              </c:pt>
              <c:pt idx="4">
                <c:v>4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Grade Range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Number of Students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>
      <xdr:nvGraphicFramePr>
        <xdr:cNvPr id="2" name="Grade Distribu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defa8107b74a60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/xl/drawings/vmldrawing.vml" Id="R714136defb2e417f" /><Relationship Type="http://schemas.openxmlformats.org/officeDocument/2006/relationships/comments" Target="/xl/comments2.xml" Id="R40e7a7017a3243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8fc2b6ee4614cc5" /></Relationships>
</file>

<file path=xl/worksheets/sheet1.xml><?xml version="1.0" encoding="utf-8"?>
<x:worksheet xmlns:x="http://schemas.openxmlformats.org/spreadsheetml/2006/main">
  <x:sheetPr>
    <x:tabColor rgb="FF3C1361"/>
  </x:sheetPr>
  <x:sheetViews>
    <x:sheetView zoomScale="110" workbookViewId="0">
      <x:pane ySplit="3" topLeftCell="A4" activePane="bottomLeft" state="frozen"/>
    </x:sheetView>
  </x:sheetViews>
  <x:cols>
    <x:col min="1" max="1" width="5" customWidth="1"/>
    <x:col min="2" max="2" width="20" customWidth="1"/>
    <x:col min="9" max="9" width="10" customWidth="1"/>
    <x:col min="10" max="10" width="8" customWidth="1"/>
    <x:col min="11" max="11" width="8" customWidth="1"/>
    <x:col min="12" max="12" width="15" customWidth="1"/>
  </x:cols>
  <x:sheetData>
    <x:row r="1" ht="30" customHeight="1">
      <x:c r="A1" s="1" t="str">
        <x:v>CS101 Computer Science Intro — Spring 2026</x:v>
      </x:c>
    </x:row>
    <x:row r="2" ht="25" customHeight="1">
      <x:c r="A2" s="2" t="str">
        <x:v>Instructor: Prof. Sarah Chen | Weights: HW 40% | Midterm 25% | Final 35%</x:v>
      </x:c>
    </x:row>
    <x:row r="3" ht="22" customHeight="1">
      <x:c r="A3" s="14" t="str">
        <x:v>#</x:v>
      </x:c>
      <x:c r="B3" s="14" t="str">
        <x:v>Name</x:v>
      </x:c>
      <x:c r="C3" s="14" t="str">
        <x:v>HW1</x:v>
      </x:c>
      <x:c r="D3" s="14" t="str">
        <x:v>HW2</x:v>
      </x:c>
      <x:c r="E3" s="14" t="str">
        <x:v>HW3</x:v>
      </x:c>
      <x:c r="F3" s="14" t="str">
        <x:v>HW4</x:v>
      </x:c>
      <x:c r="G3" s="14" t="str">
        <x:v>Midterm</x:v>
      </x:c>
      <x:c r="H3" s="14" t="str">
        <x:v>Final</x:v>
      </x:c>
      <x:c r="I3" s="14" t="str">
        <x:v>Total</x:v>
      </x:c>
      <x:c r="J3" s="14" t="str">
        <x:v>Grade</x:v>
      </x:c>
      <x:c r="K3" s="14" t="str">
        <x:v>Rank</x:v>
      </x:c>
      <x:c r="L3" s="14" t="str">
        <x:v>Notes</x:v>
      </x:c>
    </x:row>
    <x:row r="4">
      <x:c r="A4" s="15">
        <x:v>1</x:v>
      </x:c>
      <x:c r="B4" s="16" t="str">
        <x:v>Alice Johnson</x:v>
      </x:c>
      <x:c r="C4" s="15">
        <x:v>92</x:v>
      </x:c>
      <x:c r="D4" s="15">
        <x:v>88</x:v>
      </x:c>
      <x:c r="E4" s="15">
        <x:v>95</x:v>
      </x:c>
      <x:c r="F4" s="15">
        <x:v>90</x:v>
      </x:c>
      <x:c r="G4" s="15">
        <x:v>87</x:v>
      </x:c>
      <x:c r="H4" s="15">
        <x:v>91</x:v>
      </x:c>
      <x:c r="I4" s="17">
        <x:f>C4*0.1+D4*0.1+E4*0.1+F4*0.1+G4*0.25+H4*0.35</x:f>
      </x:c>
      <x:c r="J4" s="15">
        <x:f>IF(I4&gt;=90,"A",IF(I4&gt;=80,"B",IF(I4&gt;=70,"C",IF(I4&gt;=60,"D","F"))))</x:f>
      </x:c>
      <x:c r="K4" s="15">
        <x:f>RANK(I4,$I$4:$I$18)</x:f>
      </x:c>
      <x:c r="L4" s="16"/>
    </x:row>
    <x:row r="5">
      <x:c r="A5" s="15">
        <x:v>2</x:v>
      </x:c>
      <x:c r="B5" s="16" t="str">
        <x:v>Bob Smith</x:v>
      </x:c>
      <x:c r="C5" s="15">
        <x:v>78</x:v>
      </x:c>
      <x:c r="D5" s="15">
        <x:v>82</x:v>
      </x:c>
      <x:c r="E5" s="15">
        <x:v>75</x:v>
      </x:c>
      <x:c r="F5" s="15">
        <x:v>80</x:v>
      </x:c>
      <x:c r="G5" s="15">
        <x:v>72</x:v>
      </x:c>
      <x:c r="H5" s="15">
        <x:v>76</x:v>
      </x:c>
      <x:c r="I5" s="17">
        <x:f>C5*0.1+D5*0.1+E5*0.1+F5*0.1+G5*0.25+H5*0.35</x:f>
      </x:c>
      <x:c r="J5" s="15">
        <x:f>IF(I5&gt;=90,"A",IF(I5&gt;=80,"B",IF(I5&gt;=70,"C",IF(I5&gt;=60,"D","F"))))</x:f>
      </x:c>
      <x:c r="K5" s="15">
        <x:f>RANK(I5,$I$4:$I$18)</x:f>
      </x:c>
      <x:c r="L5" s="16"/>
    </x:row>
    <x:row r="6">
      <x:c r="A6" s="15">
        <x:v>3</x:v>
      </x:c>
      <x:c r="B6" s="16" t="str">
        <x:v>Carol Williams</x:v>
      </x:c>
      <x:c r="C6" s="15">
        <x:v>95</x:v>
      </x:c>
      <x:c r="D6" s="15">
        <x:v>97</x:v>
      </x:c>
      <x:c r="E6" s="15">
        <x:v>93</x:v>
      </x:c>
      <x:c r="F6" s="15">
        <x:v>96</x:v>
      </x:c>
      <x:c r="G6" s="15">
        <x:v>94</x:v>
      </x:c>
      <x:c r="H6" s="15">
        <x:v>98</x:v>
      </x:c>
      <x:c r="I6" s="17">
        <x:f>C6*0.1+D6*0.1+E6*0.1+F6*0.1+G6*0.25+H6*0.35</x:f>
      </x:c>
      <x:c r="J6" s="15">
        <x:f>IF(I6&gt;=90,"A",IF(I6&gt;=80,"B",IF(I6&gt;=70,"C",IF(I6&gt;=60,"D","F"))))</x:f>
      </x:c>
      <x:c r="K6" s="15">
        <x:f>RANK(I6,$I$4:$I$18)</x:f>
      </x:c>
      <x:c r="L6" s="16"/>
    </x:row>
    <x:row r="7">
      <x:c r="A7" s="15">
        <x:v>4</x:v>
      </x:c>
      <x:c r="B7" s="16" t="str">
        <x:v>David Brown</x:v>
      </x:c>
      <x:c r="C7" s="15">
        <x:v>65</x:v>
      </x:c>
      <x:c r="D7" s="15">
        <x:v>70</x:v>
      </x:c>
      <x:c r="E7" s="15">
        <x:v>68</x:v>
      </x:c>
      <x:c r="F7" s="15">
        <x:v>72</x:v>
      </x:c>
      <x:c r="G7" s="15">
        <x:v>63</x:v>
      </x:c>
      <x:c r="H7" s="15">
        <x:v>67</x:v>
      </x:c>
      <x:c r="I7" s="17">
        <x:f>C7*0.1+D7*0.1+E7*0.1+F7*0.1+G7*0.25+H7*0.35</x:f>
      </x:c>
      <x:c r="J7" s="15">
        <x:f>IF(I7&gt;=90,"A",IF(I7&gt;=80,"B",IF(I7&gt;=70,"C",IF(I7&gt;=60,"D","F"))))</x:f>
      </x:c>
      <x:c r="K7" s="15">
        <x:f>RANK(I7,$I$4:$I$18)</x:f>
      </x:c>
      <x:c r="L7" s="16"/>
    </x:row>
    <x:row r="8">
      <x:c r="A8" s="15">
        <x:v>5</x:v>
      </x:c>
      <x:c r="B8" s="16" t="str">
        <x:v>Emma Davis</x:v>
      </x:c>
      <x:c r="C8" s="15">
        <x:v>88</x:v>
      </x:c>
      <x:c r="D8" s="15">
        <x:v>85</x:v>
      </x:c>
      <x:c r="E8" s="15">
        <x:v>90</x:v>
      </x:c>
      <x:c r="F8" s="15">
        <x:v>87</x:v>
      </x:c>
      <x:c r="G8" s="15">
        <x:v>82</x:v>
      </x:c>
      <x:c r="H8" s="15">
        <x:v>86</x:v>
      </x:c>
      <x:c r="I8" s="17">
        <x:f>C8*0.1+D8*0.1+E8*0.1+F8*0.1+G8*0.25+H8*0.35</x:f>
      </x:c>
      <x:c r="J8" s="15">
        <x:f>IF(I8&gt;=90,"A",IF(I8&gt;=80,"B",IF(I8&gt;=70,"C",IF(I8&gt;=60,"D","F"))))</x:f>
      </x:c>
      <x:c r="K8" s="15">
        <x:f>RANK(I8,$I$4:$I$18)</x:f>
      </x:c>
      <x:c r="L8" s="16"/>
    </x:row>
    <x:row r="9">
      <x:c r="A9" s="15">
        <x:v>6</x:v>
      </x:c>
      <x:c r="B9" s="16" t="str">
        <x:v>Frank Miller</x:v>
      </x:c>
      <x:c r="C9" s="15">
        <x:v>73</x:v>
      </x:c>
      <x:c r="D9" s="15">
        <x:v>68</x:v>
      </x:c>
      <x:c r="E9" s="15">
        <x:v>71</x:v>
      </x:c>
      <x:c r="F9" s="15">
        <x:v>75</x:v>
      </x:c>
      <x:c r="G9" s="15">
        <x:v>70</x:v>
      </x:c>
      <x:c r="H9" s="15">
        <x:v>74</x:v>
      </x:c>
      <x:c r="I9" s="17">
        <x:f>C9*0.1+D9*0.1+E9*0.1+F9*0.1+G9*0.25+H9*0.35</x:f>
      </x:c>
      <x:c r="J9" s="15">
        <x:f>IF(I9&gt;=90,"A",IF(I9&gt;=80,"B",IF(I9&gt;=70,"C",IF(I9&gt;=60,"D","F"))))</x:f>
      </x:c>
      <x:c r="K9" s="15">
        <x:f>RANK(I9,$I$4:$I$18)</x:f>
      </x:c>
      <x:c r="L9" s="16"/>
    </x:row>
    <x:row r="10">
      <x:c r="A10" s="15">
        <x:v>7</x:v>
      </x:c>
      <x:c r="B10" s="16" t="str">
        <x:v>Grace Lee</x:v>
      </x:c>
      <x:c r="C10" s="15">
        <x:v>84</x:v>
      </x:c>
      <x:c r="D10" s="15">
        <x:v>89</x:v>
      </x:c>
      <x:c r="E10" s="15">
        <x:v>86</x:v>
      </x:c>
      <x:c r="F10" s="15">
        <x:v>82</x:v>
      </x:c>
      <x:c r="G10" s="15">
        <x:v>91</x:v>
      </x:c>
      <x:c r="H10" s="15">
        <x:v>88</x:v>
      </x:c>
      <x:c r="I10" s="17">
        <x:f>C10*0.1+D10*0.1+E10*0.1+F10*0.1+G10*0.25+H10*0.35</x:f>
      </x:c>
      <x:c r="J10" s="15">
        <x:f>IF(I10&gt;=90,"A",IF(I10&gt;=80,"B",IF(I10&gt;=70,"C",IF(I10&gt;=60,"D","F"))))</x:f>
      </x:c>
      <x:c r="K10" s="15">
        <x:f>RANK(I10,$I$4:$I$18)</x:f>
      </x:c>
      <x:c r="L10" s="16"/>
    </x:row>
    <x:row r="11">
      <x:c r="A11" s="15">
        <x:v>8</x:v>
      </x:c>
      <x:c r="B11" s="16" t="str">
        <x:v>Henry Wang</x:v>
      </x:c>
      <x:c r="C11" s="15">
        <x:v>60</x:v>
      </x:c>
      <x:c r="D11" s="15">
        <x:v>65</x:v>
      </x:c>
      <x:c r="E11" s="15">
        <x:v>62</x:v>
      </x:c>
      <x:c r="F11" s="15">
        <x:v>68</x:v>
      </x:c>
      <x:c r="G11" s="15">
        <x:v>61</x:v>
      </x:c>
      <x:c r="H11" s="15">
        <x:v>64</x:v>
      </x:c>
      <x:c r="I11" s="17">
        <x:f>C11*0.1+D11*0.1+E11*0.1+F11*0.1+G11*0.25+H11*0.35</x:f>
      </x:c>
      <x:c r="J11" s="15">
        <x:f>IF(I11&gt;=90,"A",IF(I11&gt;=80,"B",IF(I11&gt;=70,"C",IF(I11&gt;=60,"D","F"))))</x:f>
      </x:c>
      <x:c r="K11" s="15">
        <x:f>RANK(I11,$I$4:$I$18)</x:f>
      </x:c>
      <x:c r="L11" s="16"/>
    </x:row>
    <x:row r="12">
      <x:c r="A12" s="15">
        <x:v>9</x:v>
      </x:c>
      <x:c r="B12" s="16" t="str">
        <x:v>Isabella Martinez</x:v>
      </x:c>
      <x:c r="C12" s="15">
        <x:v>91</x:v>
      </x:c>
      <x:c r="D12" s="15">
        <x:v>93</x:v>
      </x:c>
      <x:c r="E12" s="15">
        <x:v>89</x:v>
      </x:c>
      <x:c r="F12" s="15">
        <x:v>94</x:v>
      </x:c>
      <x:c r="G12" s="15">
        <x:v>88</x:v>
      </x:c>
      <x:c r="H12" s="15">
        <x:v>92</x:v>
      </x:c>
      <x:c r="I12" s="17">
        <x:f>C12*0.1+D12*0.1+E12*0.1+F12*0.1+G12*0.25+H12*0.35</x:f>
      </x:c>
      <x:c r="J12" s="15">
        <x:f>IF(I12&gt;=90,"A",IF(I12&gt;=80,"B",IF(I12&gt;=70,"C",IF(I12&gt;=60,"D","F"))))</x:f>
      </x:c>
      <x:c r="K12" s="15">
        <x:f>RANK(I12,$I$4:$I$18)</x:f>
      </x:c>
      <x:c r="L12" s="16"/>
    </x:row>
    <x:row r="13">
      <x:c r="A13" s="15">
        <x:v>10</x:v>
      </x:c>
      <x:c r="B13" s="16" t="str">
        <x:v>James Taylor</x:v>
      </x:c>
      <x:c r="C13" s="15">
        <x:v>76</x:v>
      </x:c>
      <x:c r="D13" s="15">
        <x:v>79</x:v>
      </x:c>
      <x:c r="E13" s="15">
        <x:v>74</x:v>
      </x:c>
      <x:c r="F13" s="15">
        <x:v>81</x:v>
      </x:c>
      <x:c r="G13" s="15">
        <x:v>77</x:v>
      </x:c>
      <x:c r="H13" s="15">
        <x:v>80</x:v>
      </x:c>
      <x:c r="I13" s="17">
        <x:f>C13*0.1+D13*0.1+E13*0.1+F13*0.1+G13*0.25+H13*0.35</x:f>
      </x:c>
      <x:c r="J13" s="15">
        <x:f>IF(I13&gt;=90,"A",IF(I13&gt;=80,"B",IF(I13&gt;=70,"C",IF(I13&gt;=60,"D","F"))))</x:f>
      </x:c>
      <x:c r="K13" s="15">
        <x:f>RANK(I13,$I$4:$I$18)</x:f>
      </x:c>
      <x:c r="L13" s="16"/>
    </x:row>
    <x:row r="14">
      <x:c r="A14" s="15">
        <x:v>11</x:v>
      </x:c>
      <x:c r="B14" s="16" t="str">
        <x:v>Karen Anderson</x:v>
      </x:c>
      <x:c r="C14" s="15">
        <x:v>83</x:v>
      </x:c>
      <x:c r="D14" s="15">
        <x:v>86</x:v>
      </x:c>
      <x:c r="E14" s="15">
        <x:v>80</x:v>
      </x:c>
      <x:c r="F14" s="15">
        <x:v>85</x:v>
      </x:c>
      <x:c r="G14" s="15">
        <x:v>79</x:v>
      </x:c>
      <x:c r="H14" s="15">
        <x:v>84</x:v>
      </x:c>
      <x:c r="I14" s="17">
        <x:f>C14*0.1+D14*0.1+E14*0.1+F14*0.1+G14*0.25+H14*0.35</x:f>
      </x:c>
      <x:c r="J14" s="15">
        <x:f>IF(I14&gt;=90,"A",IF(I14&gt;=80,"B",IF(I14&gt;=70,"C",IF(I14&gt;=60,"D","F"))))</x:f>
      </x:c>
      <x:c r="K14" s="15">
        <x:f>RANK(I14,$I$4:$I$18)</x:f>
      </x:c>
      <x:c r="L14" s="16"/>
    </x:row>
    <x:row r="15">
      <x:c r="A15" s="15">
        <x:v>12</x:v>
      </x:c>
      <x:c r="B15" s="16" t="str">
        <x:v>Liam Thomas</x:v>
      </x:c>
      <x:c r="C15" s="15">
        <x:v>70</x:v>
      </x:c>
      <x:c r="D15" s="15">
        <x:v>74</x:v>
      </x:c>
      <x:c r="E15" s="15">
        <x:v>67</x:v>
      </x:c>
      <x:c r="F15" s="15">
        <x:v>73</x:v>
      </x:c>
      <x:c r="G15" s="15">
        <x:v>69</x:v>
      </x:c>
      <x:c r="H15" s="15">
        <x:v>71</x:v>
      </x:c>
      <x:c r="I15" s="17">
        <x:f>C15*0.1+D15*0.1+E15*0.1+F15*0.1+G15*0.25+H15*0.35</x:f>
      </x:c>
      <x:c r="J15" s="15">
        <x:f>IF(I15&gt;=90,"A",IF(I15&gt;=80,"B",IF(I15&gt;=70,"C",IF(I15&gt;=60,"D","F"))))</x:f>
      </x:c>
      <x:c r="K15" s="15">
        <x:f>RANK(I15,$I$4:$I$18)</x:f>
      </x:c>
      <x:c r="L15" s="16"/>
    </x:row>
    <x:row r="16">
      <x:c r="A16" s="15">
        <x:v>13</x:v>
      </x:c>
      <x:c r="B16" s="16" t="str">
        <x:v>Mia Jackson</x:v>
      </x:c>
      <x:c r="C16" s="15">
        <x:v>97</x:v>
      </x:c>
      <x:c r="D16" s="15">
        <x:v>94</x:v>
      </x:c>
      <x:c r="E16" s="15">
        <x:v>96</x:v>
      </x:c>
      <x:c r="F16" s="15">
        <x:v>93</x:v>
      </x:c>
      <x:c r="G16" s="15">
        <x:v>95</x:v>
      </x:c>
      <x:c r="H16" s="15">
        <x:v>97</x:v>
      </x:c>
      <x:c r="I16" s="17">
        <x:f>C16*0.1+D16*0.1+E16*0.1+F16*0.1+G16*0.25+H16*0.35</x:f>
      </x:c>
      <x:c r="J16" s="15">
        <x:f>IF(I16&gt;=90,"A",IF(I16&gt;=80,"B",IF(I16&gt;=70,"C",IF(I16&gt;=60,"D","F"))))</x:f>
      </x:c>
      <x:c r="K16" s="15">
        <x:f>RANK(I16,$I$4:$I$18)</x:f>
      </x:c>
      <x:c r="L16" s="16"/>
    </x:row>
    <x:row r="17">
      <x:c r="A17" s="15">
        <x:v>14</x:v>
      </x:c>
      <x:c r="B17" s="16" t="str">
        <x:v>Nathan White</x:v>
      </x:c>
      <x:c r="C17" s="15">
        <x:v>81</x:v>
      </x:c>
      <x:c r="D17" s="15">
        <x:v>77</x:v>
      </x:c>
      <x:c r="E17" s="15">
        <x:v>83</x:v>
      </x:c>
      <x:c r="F17" s="15">
        <x:v>79</x:v>
      </x:c>
      <x:c r="G17" s="15">
        <x:v>85</x:v>
      </x:c>
      <x:c r="H17" s="15">
        <x:v>82</x:v>
      </x:c>
      <x:c r="I17" s="17">
        <x:f>C17*0.1+D17*0.1+E17*0.1+F17*0.1+G17*0.25+H17*0.35</x:f>
      </x:c>
      <x:c r="J17" s="15">
        <x:f>IF(I17&gt;=90,"A",IF(I17&gt;=80,"B",IF(I17&gt;=70,"C",IF(I17&gt;=60,"D","F"))))</x:f>
      </x:c>
      <x:c r="K17" s="15">
        <x:f>RANK(I17,$I$4:$I$18)</x:f>
      </x:c>
      <x:c r="L17" s="16"/>
    </x:row>
    <x:row r="18">
      <x:c r="A18" s="15">
        <x:v>15</x:v>
      </x:c>
      <x:c r="B18" s="16" t="str">
        <x:v>Olivia Harris</x:v>
      </x:c>
      <x:c r="C18" s="15">
        <x:v>87</x:v>
      </x:c>
      <x:c r="D18" s="15">
        <x:v>90</x:v>
      </x:c>
      <x:c r="E18" s="15">
        <x:v>85</x:v>
      </x:c>
      <x:c r="F18" s="15">
        <x:v>88</x:v>
      </x:c>
      <x:c r="G18" s="15">
        <x:v>83</x:v>
      </x:c>
      <x:c r="H18" s="15">
        <x:v>89</x:v>
      </x:c>
      <x:c r="I18" s="17">
        <x:f>C18*0.1+D18*0.1+E18*0.1+F18*0.1+G18*0.25+H18*0.35</x:f>
      </x:c>
      <x:c r="J18" s="15">
        <x:f>IF(I18&gt;=90,"A",IF(I18&gt;=80,"B",IF(I18&gt;=70,"C",IF(I18&gt;=60,"D","F"))))</x:f>
      </x:c>
      <x:c r="K18" s="15">
        <x:f>RANK(I18,$I$4:$I$18)</x:f>
      </x:c>
      <x:c r="L18" s="16"/>
    </x:row>
    <x:row r="20" ht="20" customHeight="1">
      <x:c r="A20" s="6" t="str">
        <x:v>Statistics</x:v>
      </x:c>
      <x:c r="B20" s="18" t="str">
        <x:v>Average</x:v>
      </x:c>
      <x:c r="C20" s="19">
        <x:f>AVERAGE(C4:C18)</x:f>
      </x:c>
      <x:c r="D20" s="19">
        <x:f>AVERAGE(D4:D18)</x:f>
      </x:c>
      <x:c r="E20" s="19">
        <x:f>AVERAGE(E4:E18)</x:f>
      </x:c>
      <x:c r="F20" s="19">
        <x:f>AVERAGE(F4:F18)</x:f>
      </x:c>
      <x:c r="G20" s="19">
        <x:f>AVERAGE(G4:G18)</x:f>
      </x:c>
      <x:c r="H20" s="19">
        <x:f>AVERAGE(H4:H18)</x:f>
      </x:c>
      <x:c r="I20" s="20">
        <x:f>AVERAGE(I4:I18)</x:f>
      </x:c>
    </x:row>
    <x:row r="21">
      <x:c r="B21" s="18" t="str">
        <x:v>Max</x:v>
      </x:c>
      <x:c r="C21" s="21">
        <x:f>MAX(C4:C18)</x:f>
      </x:c>
      <x:c r="D21" s="21">
        <x:f>MAX(D4:D18)</x:f>
      </x:c>
      <x:c r="E21" s="21">
        <x:f>MAX(E4:E18)</x:f>
      </x:c>
      <x:c r="F21" s="21">
        <x:f>MAX(F4:F18)</x:f>
      </x:c>
      <x:c r="G21" s="21">
        <x:f>MAX(G4:G18)</x:f>
      </x:c>
      <x:c r="H21" s="21">
        <x:f>MAX(H4:H18)</x:f>
      </x:c>
      <x:c r="I21" s="20">
        <x:f>MAX(I4:I18)</x:f>
      </x:c>
    </x:row>
    <x:row r="22">
      <x:c r="B22" s="18" t="str">
        <x:v>Min</x:v>
      </x:c>
      <x:c r="C22" s="21">
        <x:f>MIN(C4:C18)</x:f>
      </x:c>
      <x:c r="D22" s="21">
        <x:f>MIN(D4:D18)</x:f>
      </x:c>
      <x:c r="E22" s="21">
        <x:f>MIN(E4:E18)</x:f>
      </x:c>
      <x:c r="F22" s="21">
        <x:f>MIN(F4:F18)</x:f>
      </x:c>
      <x:c r="G22" s="21">
        <x:f>MIN(G4:G18)</x:f>
      </x:c>
      <x:c r="H22" s="21">
        <x:f>MIN(H4:H18)</x:f>
      </x:c>
      <x:c r="I22" s="20">
        <x:f>MIN(I4:I18)</x:f>
      </x:c>
    </x:row>
  </x:sheetData>
  <x:mergeCells>
    <x:mergeCell ref="A1:L1"/>
    <x:mergeCell ref="A2:L2"/>
  </x:mergeCells>
  <x:conditionalFormatting sqref="J4:J18">
    <x:cfRule type="iconSet" priority="1">
      <x:iconSet iconSet="3Symbols">
        <x:cfvo type="percent" val="0"/>
        <x:cfvo type="percent" val="33"/>
        <x:cfvo type="percent" val="66"/>
      </x:iconSet>
    </x:cfRule>
  </x:conditionalFormatting>
  <x:conditionalFormatting sqref="I4:I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</x:worksheet>
</file>

<file path=xl/worksheets/sheet2.xml><?xml version="1.0" encoding="utf-8"?>
<x:worksheet xmlns:r="http://schemas.openxmlformats.org/officeDocument/2006/relationships" xmlns:x="http://schemas.openxmlformats.org/spreadsheetml/2006/main">
  <x:sheetPr xmlns:x="http://schemas.openxmlformats.org/spreadsheetml/2006/main">
    <x:tabColor rgb="FF7B2D8E"/>
  </x:sheetPr>
  <x:cols xmlns:x="http://schemas.openxmlformats.org/spreadsheetml/2006/main">
    <x:col min="1" max="1" width="25" customWidth="1"/>
    <x:col min="2" max="2" width="12" customWidth="1"/>
  </x:cols>
  <x:sheetData xmlns:x="http://schemas.openxmlformats.org/spreadsheetml/2006/main">
    <x:row r="1">
      <x:c r="A1" s="10" t="str">
        <x:v>Grade Distribution Analysis</x:v>
      </x:c>
    </x:row>
    <x:row r="3">
      <x:c r="A3" s="11" t="str">
        <x:v>Range</x:v>
      </x:c>
      <x:c r="B3" s="11" t="str">
        <x:v>Count</x:v>
      </x:c>
    </x:row>
    <x:row r="4">
      <x:c r="A4" t="str">
        <x:v>0-59 (F)</x:v>
      </x:c>
      <x:c r="B4" s="4">
        <x:f>COUNTIF(Grades!I4:I18,"&lt;60")</x:f>
      </x:c>
    </x:row>
    <x:row r="5">
      <x:c r="A5" t="str">
        <x:v>60-69 (D)</x:v>
      </x:c>
      <x:c r="B5" s="4">
        <x:f>COUNTIFS(Grades!I4:I18,"&gt;=60",Grades!I4:I18,"&lt;70")</x:f>
      </x:c>
    </x:row>
    <x:row r="6">
      <x:c r="A6" t="str">
        <x:v>70-79 (C)</x:v>
      </x:c>
      <x:c r="B6" s="4">
        <x:f>COUNTIFS(Grades!I4:I18,"&gt;=70",Grades!I4:I18,"&lt;80")</x:f>
      </x:c>
    </x:row>
    <x:row r="7">
      <x:c r="A7" t="str">
        <x:v>80-89 (B)</x:v>
      </x:c>
      <x:c r="B7" s="4">
        <x:f>COUNTIFS(Grades!I4:I18,"&gt;=80",Grades!I4:I18,"&lt;90")</x:f>
      </x:c>
    </x:row>
    <x:row r="8">
      <x:c r="A8" t="str">
        <x:v>90-100 (A)</x:v>
      </x:c>
      <x:c r="B8" s="4">
        <x:f>COUNTIFS(Grades!I4:I18,"&gt;=90",Grades!I4:I18,"&lt;=100")</x:f>
      </x:c>
    </x:row>
    <x:row r="10">
      <x:c r="A10" t="str">
        <x:v/>
      </x:c>
    </x:row>
    <x:row r="11">
      <x:c r="A11" s="12" t="str">
        <x:v>Pass Rate (&gt;=60): </x:v>
      </x:c>
      <x:c r="B11" s="13">
        <x:f>COUNTIF(Grades!I4:I18,"&gt;=60")/15*100</x:f>
      </x:c>
    </x:row>
    <x:row r="12">
      <x:c r="A12" s="12" t="str">
        <x:v>Excellence Rate (&gt;=90): </x:v>
      </x:c>
      <x:c r="B12" s="13">
        <x:f>COUNTIF(Grades!I4:I18,"&gt;=90")/15*100</x:f>
      </x:c>
    </x:row>
    <x:row r="14">
      <x:c r="A14" t="inlineStr">
        <x:is>
          <x:r>
            <x:rPr>
              <x:b/>
              <x:sz val="11"/>
              <x:color rgb="FF3C1361"/>
            </x:rPr>
            <x:t>Class Average: </x:t>
          </x:r>
          <x:r>
            <x:rPr>
              <x:sz val="11"/>
              <x:color rgb="FF000000"/>
            </x:rPr>
            <x:t>80.25</x:t>
          </x:r>
        </x:is>
      </x:c>
    </x:row>
    <x:row r="15">
      <x:c r="A15" t="inlineStr">
        <x:is>
          <x:r>
            <x:rPr>
              <x:b/>
              <x:sz val="11"/>
              <x:color rgb="FF3C1361"/>
            </x:rPr>
            <x:t>Total Students: </x:t>
          </x:r>
          <x:r>
            <x:rPr>
              <x:sz val="11"/>
              <x:color rgb="FF000000"/>
            </x:rPr>
            <x:t>15</x:t>
          </x:r>
        </x:is>
      </x:c>
    </x:row>
  </x:sheetData>
  <x:drawing xmlns:r="http://schemas.openxmlformats.org/officeDocument/2006/relationships" xmlns:x="http://schemas.openxmlformats.org/spreadsheetml/2006/main" r:id="R28fc2b6ee4614cc5"/>
</x:worksheet>
</file>